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C_Project\"/>
    </mc:Choice>
  </mc:AlternateContent>
  <xr:revisionPtr revIDLastSave="0" documentId="13_ncr:1_{A2F56A02-F712-46EA-B8D7-7A695ED73DCE}" xr6:coauthVersionLast="47" xr6:coauthVersionMax="47" xr10:uidLastSave="{00000000-0000-0000-0000-000000000000}"/>
  <bookViews>
    <workbookView xWindow="11424" yWindow="0" windowWidth="11712" windowHeight="12336" xr2:uid="{6B86BAAF-B956-4F5E-8F8C-D93A9809614D}"/>
  </bookViews>
  <sheets>
    <sheet name="Control_List" sheetId="1" r:id="rId1"/>
    <sheet name="Compliance_Tracker" sheetId="2" r:id="rId2"/>
    <sheet name="Risk_Issue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" l="1"/>
  <c r="B31" i="4"/>
  <c r="B30" i="4"/>
  <c r="L6" i="4"/>
  <c r="L5" i="4"/>
  <c r="L4" i="4"/>
  <c r="B6" i="4"/>
  <c r="B5" i="4"/>
  <c r="B4" i="4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<sst xmlns="http://schemas.openxmlformats.org/spreadsheetml/2006/main" count="156" uniqueCount="95">
  <si>
    <t>Control_ID</t>
  </si>
  <si>
    <t>Control_Name</t>
  </si>
  <si>
    <t>Domain</t>
  </si>
  <si>
    <t>Description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</si>
  <si>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</si>
  <si>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</si>
  <si>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</si>
  <si>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</si>
  <si>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</si>
  <si>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</si>
  <si>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</si>
  <si>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</si>
  <si>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</si>
  <si>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</si>
  <si>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Asset Inventory</t>
  </si>
  <si>
    <t>Asset Management</t>
  </si>
  <si>
    <t>Maintain inventory of IT assets</t>
  </si>
  <si>
    <t>Access Control</t>
  </si>
  <si>
    <t>Identity &amp; Access</t>
  </si>
  <si>
    <t>Restrict unauthorized access</t>
  </si>
  <si>
    <t>Password Policy</t>
  </si>
  <si>
    <t>Enforce Strong passwords</t>
  </si>
  <si>
    <t>Data Encryption</t>
  </si>
  <si>
    <t>Cryptography</t>
  </si>
  <si>
    <t>Protect sensitive data</t>
  </si>
  <si>
    <t>Backup Management</t>
  </si>
  <si>
    <t>Operations Security</t>
  </si>
  <si>
    <t>Maintain system backups</t>
  </si>
  <si>
    <t>Network Firewall</t>
  </si>
  <si>
    <t>Network Security</t>
  </si>
  <si>
    <t>Protect network traffic</t>
  </si>
  <si>
    <t>Incident Response</t>
  </si>
  <si>
    <t>Incident Management</t>
  </si>
  <si>
    <t>Handle security incidents</t>
  </si>
  <si>
    <t>Train employees on security</t>
  </si>
  <si>
    <t>Update systems regularly</t>
  </si>
  <si>
    <t>Monitor system activity</t>
  </si>
  <si>
    <t>Patch Management</t>
  </si>
  <si>
    <t>Vulnerability Management</t>
  </si>
  <si>
    <t>Security Awareness</t>
  </si>
  <si>
    <t>Human Security</t>
  </si>
  <si>
    <t>Logging &amp; Monitring</t>
  </si>
  <si>
    <t>Security Monitoring</t>
  </si>
  <si>
    <t>Owner</t>
  </si>
  <si>
    <t>Status</t>
  </si>
  <si>
    <t>Last_Reviewed</t>
  </si>
  <si>
    <t>Comments</t>
  </si>
  <si>
    <t>IT Team</t>
  </si>
  <si>
    <t>Asset register maintained</t>
  </si>
  <si>
    <t>Security Team</t>
  </si>
  <si>
    <t>Role based access</t>
  </si>
  <si>
    <t>In Progress</t>
  </si>
  <si>
    <t>Policy updating</t>
  </si>
  <si>
    <t>Logging &amp; Monitoring</t>
  </si>
  <si>
    <t>IT Ops</t>
  </si>
  <si>
    <t>Network Team</t>
  </si>
  <si>
    <t>HR</t>
  </si>
  <si>
    <t>Planned</t>
  </si>
  <si>
    <t>Encryption enabled</t>
  </si>
  <si>
    <t>Daily backups</t>
  </si>
  <si>
    <t>Firewall active</t>
  </si>
  <si>
    <t>IR plan drafting</t>
  </si>
  <si>
    <t>Monthly updates</t>
  </si>
  <si>
    <t>Traning scheduled</t>
  </si>
  <si>
    <t>SIEM monitoring</t>
  </si>
  <si>
    <t>Issue_ID</t>
  </si>
  <si>
    <t>Risk_Level</t>
  </si>
  <si>
    <t>I1</t>
  </si>
  <si>
    <t>I2</t>
  </si>
  <si>
    <t>I3</t>
  </si>
  <si>
    <t>I4</t>
  </si>
  <si>
    <t>I5</t>
  </si>
  <si>
    <t>Medium</t>
  </si>
  <si>
    <t>High</t>
  </si>
  <si>
    <t>Low</t>
  </si>
  <si>
    <t>Weak password usage</t>
  </si>
  <si>
    <t>Sensitive data unencrypted</t>
  </si>
  <si>
    <t>Delayed security patches</t>
  </si>
  <si>
    <t>Incident response plan incomplete</t>
  </si>
  <si>
    <t>Security training not completed</t>
  </si>
  <si>
    <t>Open</t>
  </si>
  <si>
    <t>Score</t>
  </si>
  <si>
    <t>Implemented</t>
  </si>
  <si>
    <t>Count</t>
  </si>
  <si>
    <t>Risk Level</t>
  </si>
  <si>
    <t>Metric</t>
  </si>
  <si>
    <t>Total Controls</t>
  </si>
  <si>
    <t>Compliance %</t>
  </si>
  <si>
    <t>GRC Compliance Dashboard</t>
  </si>
  <si>
    <t>Values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</si>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</sst>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</c:f>
              <c:strCache>
                <c:ptCount val="1"/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Dashboard!$A$2:$A$6</c:f>
              <c:strCache>
                <c:ptCount val="5"/>
                <c:pt idx="1">
                  <c:v>Column1</c:v>
                </c:pt>
                <c:pt idx="2">
                  <c:v>Implemented</c:v>
                </c:pt>
                <c:pt idx="3">
                  <c:v>In Progress</c:v>
                </c:pt>
                <c:pt idx="4">
                  <c:v>Planned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1">
                  <c:v>0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6-4867-80A3-C9F81E6CC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Dashboard!$K$4:$K$6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F-4FC2-A18E-6E7F0763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941392"/>
        <c:axId val="416939952"/>
      </c:barChart>
      <c:catAx>
        <c:axId val="41694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39952"/>
        <c:crosses val="autoZero"/>
        <c:auto val="1"/>
        <c:lblAlgn val="ctr"/>
        <c:lblOffset val="100"/>
        <c:noMultiLvlLbl val="0"/>
      </c:catAx>
      <c:valAx>
        <c:axId val="4169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4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125833</xdr:colOff>
      <xdr:row>9</xdr:row>
      <xdr:rowOff>13695</xdr:rowOff>
    </xdr:from>
    <xdr:to>
      <xdr:col>6</xdr:col>
      <xdr:colOff>9886</xdr:colOff>
      <xdr:row>24</xdr:row>
      <xdr:rowOff>13695</xdr:rowOff>
    </xdr:to>
    <xdr:graphicFrame macro="">
      <xdr:nvGraphicFramePr>
        <xdr:cNvPr id="3" name="Compliance Status">
          <a:extLst>
            <a:ext uri="{FF2B5EF4-FFF2-40B4-BE49-F238E27FC236}">
              <a16:creationId xmlns:a16="http://schemas.microsoft.com/office/drawing/2014/main" id="{CC79EC2C-AE10-6DF4-B970-E33B9222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10298</xdr:colOff>
      <xdr:row>8</xdr:row>
      <xdr:rowOff>178144</xdr:rowOff>
    </xdr:from>
    <xdr:to>
      <xdr:col>15</xdr:col>
      <xdr:colOff>357909</xdr:colOff>
      <xdr:row>23</xdr:row>
      <xdr:rowOff>161636</xdr:rowOff>
    </xdr:to>
    <xdr:graphicFrame macro="">
      <xdr:nvGraphicFramePr>
        <xdr:cNvPr id="4" name="Risk Level Overview">
          <a:extLst>
            <a:ext uri="{FF2B5EF4-FFF2-40B4-BE49-F238E27FC236}">
              <a16:creationId xmlns:a16="http://schemas.microsoft.com/office/drawing/2014/main" id="{A95B666A-B9B4-F679-2483-1F2C56157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6557AC-A652-4C13-9A4A-FE1D2956D01B}" name="Control_List" displayName="Control_List" ref="A1:D12" totalsRowShown="0">
  <autoFilter ref="A1:D12" xr:uid="{C66557AC-A652-4C13-9A4A-FE1D2956D01B}"/>
  <tableColumns count="4">
    <tableColumn id="1" xr3:uid="{AA9CA371-D7F9-40D3-8DA5-9E24D65CD021}" name="Column1"/>
    <tableColumn id="2" xr3:uid="{BB08369D-A7A8-438F-BB40-8D9A956DDD1F}" name="Column2"/>
    <tableColumn id="3" xr3:uid="{28C4B5A0-3ECA-46A6-973F-8288B8D1AA01}" name="Column3"/>
    <tableColumn id="4" xr3:uid="{9C30A174-A073-4D31-9498-BF0A9E948BA1}" name="Column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90C57F-D583-4D43-9781-5B6FF4727F9B}" name="Compliance_Tracker" displayName="Compliance_Tracker" ref="A1:G11" totalsRowShown="0">
  <autoFilter ref="A1:G11" xr:uid="{F890C57F-D583-4D43-9781-5B6FF4727F9B}"/>
  <tableColumns count="7">
    <tableColumn id="1" xr3:uid="{9FBCADB5-AD3F-4F47-9A77-2DA57E89CE2F}" name="Control_ID"/>
    <tableColumn id="2" xr3:uid="{14E34E10-5402-4498-BC2C-1CF40BE2F1C0}" name="Control_Name"/>
    <tableColumn id="3" xr3:uid="{A593B32A-DBF0-4FD4-94A5-5A312F6BCD70}" name="Owner"/>
    <tableColumn id="4" xr3:uid="{31668485-525A-4301-9C49-BB82AEC21BAD}" name="Status"/>
    <tableColumn id="5" xr3:uid="{44374FF1-0225-4623-9462-1FF9F3D01618}" name="Score">
      <calculatedColumnFormula>IF(D2="Implemented",1,IF(D2="In Progress",0.5,IF(D2="Planned",0.2,0)))</calculatedColumnFormula>
    </tableColumn>
    <tableColumn id="6" xr3:uid="{3A053FB8-E375-42F2-8509-29F3F931A8E5}" name="Last_Reviewed" dataDxfId="0"/>
    <tableColumn id="7" xr3:uid="{D59A5663-DD53-4DB6-8C21-8935B6486820}" name="Comment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D8EF36-C1F0-4057-956D-40282F75309D}" name="Risk_Issue" displayName="Risk_Issue" ref="A1:E7" totalsRowShown="0">
  <autoFilter ref="A1:E7" xr:uid="{2BD8EF36-C1F0-4057-956D-40282F75309D}"/>
  <tableColumns count="5">
    <tableColumn id="1" xr3:uid="{3A0652FA-F2AE-4ABF-9AF2-7934CC54A07F}" name="Column1"/>
    <tableColumn id="2" xr3:uid="{FCDF65A8-AA9F-4971-AED5-BFA605FB7C66}" name="Column2"/>
    <tableColumn id="3" xr3:uid="{BAED39B0-292A-4929-A5B1-2B411ADE56C8}" name="Column3"/>
    <tableColumn id="4" xr3:uid="{BD670013-5E77-4635-884B-584C37959B2A}" name="Column4"/>
    <tableColumn id="5" xr3:uid="{AC660137-117E-4F9B-9AAD-8D31AD68CCAE}" name="Column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A9F97-61A7-43CD-9B34-46E8D79B676C}" name="ComplianceTable" displayName="ComplianceTable" ref="A3:B6" totalsRowShown="0">
  <autoFilter ref="A3:B6" xr:uid="{60CA9F97-61A7-43CD-9B34-46E8D79B676C}"/>
  <tableColumns count="2">
    <tableColumn id="1" xr3:uid="{4F9745EF-353F-4415-ABBE-F1820264FE7C}" name="Column1"/>
    <tableColumn id="2" xr3:uid="{32A0C2EC-77D1-482F-8D73-69BA86984609}" name="Column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117832-E7B0-428F-8407-EA83A03F18CA}" name="RiskTable" displayName="RiskTable" ref="K3:L6" totalsRowShown="0">
  <autoFilter ref="K3:L6" xr:uid="{DE117832-E7B0-428F-8407-EA83A03F18CA}"/>
  <tableColumns count="2">
    <tableColumn id="1" xr3:uid="{19D769D1-4A29-46C8-9FFD-83FEDFAF6DCD}" name="Risk Level"/>
    <tableColumn id="2" xr3:uid="{265356A5-949C-420A-AB8F-171CAA8319BF}" name="Cou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1EE07E-CD9A-40D9-8319-06E35452C8C9}" name="MetricsTable" displayName="MetricsTable" ref="A29:B32" totalsRowShown="0">
  <autoFilter ref="A29:B32" xr:uid="{581EE07E-CD9A-40D9-8319-06E35452C8C9}"/>
  <tableColumns count="2">
    <tableColumn id="1" xr3:uid="{659FFCFB-B97B-4B43-800F-5C90E4FE3279}" name="Metric"/>
    <tableColumn id="2" xr3:uid="{8EF3C2F8-9DAB-46E4-A6D8-A3A351B0215A}" name="Valu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B3B2-EF3E-4A28-89FC-AFBDC8221313}">
  <dimension ref="A1:D12"/>
  <sheetViews>
    <sheetView tabSelected="1" workbookViewId="0">
      <selection activeCell="B17" sqref="B17"/>
    </sheetView>
  </sheetViews>
  <sheetFormatPr defaultRowHeight="14.4" x14ac:dyDescent="0.3"/>
  <cols>
    <col min="1" max="1" width="11.6640625" customWidth="1"/>
    <col min="2" max="2" width="18" customWidth="1"/>
    <col min="3" max="3" width="22.44140625" customWidth="1"/>
    <col min="4" max="4" width="30.109375" customWidth="1"/>
  </cols>
  <sheetData>
    <row r="1" spans="1:4" x14ac:dyDescent="0.3">
      <c r="A1" t="s">
        <v>90</v>
      </c>
      <c r="B1" t="s">
        <v>91</v>
      </c>
      <c r="C1" t="s">
        <v>92</v>
      </c>
      <c r="D1" t="s">
        <v>93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14</v>
      </c>
      <c r="C3" t="s">
        <v>15</v>
      </c>
      <c r="D3" t="s">
        <v>16</v>
      </c>
    </row>
    <row r="4" spans="1:4" x14ac:dyDescent="0.3">
      <c r="A4" t="s">
        <v>5</v>
      </c>
      <c r="B4" t="s">
        <v>17</v>
      </c>
      <c r="C4" t="s">
        <v>18</v>
      </c>
      <c r="D4" t="s">
        <v>19</v>
      </c>
    </row>
    <row r="5" spans="1:4" x14ac:dyDescent="0.3">
      <c r="A5" t="s">
        <v>6</v>
      </c>
      <c r="B5" t="s">
        <v>20</v>
      </c>
      <c r="C5" t="s">
        <v>18</v>
      </c>
      <c r="D5" t="s">
        <v>21</v>
      </c>
    </row>
    <row r="6" spans="1:4" x14ac:dyDescent="0.3">
      <c r="A6" t="s">
        <v>7</v>
      </c>
      <c r="B6" t="s">
        <v>22</v>
      </c>
      <c r="C6" t="s">
        <v>23</v>
      </c>
      <c r="D6" t="s">
        <v>24</v>
      </c>
    </row>
    <row r="7" spans="1:4" x14ac:dyDescent="0.3">
      <c r="A7" t="s">
        <v>8</v>
      </c>
      <c r="B7" t="s">
        <v>25</v>
      </c>
      <c r="C7" t="s">
        <v>26</v>
      </c>
      <c r="D7" t="s">
        <v>27</v>
      </c>
    </row>
    <row r="8" spans="1:4" x14ac:dyDescent="0.3">
      <c r="A8" t="s">
        <v>9</v>
      </c>
      <c r="B8" t="s">
        <v>28</v>
      </c>
      <c r="C8" t="s">
        <v>29</v>
      </c>
      <c r="D8" t="s">
        <v>30</v>
      </c>
    </row>
    <row r="9" spans="1:4" x14ac:dyDescent="0.3">
      <c r="A9" t="s">
        <v>10</v>
      </c>
      <c r="B9" t="s">
        <v>31</v>
      </c>
      <c r="C9" t="s">
        <v>32</v>
      </c>
      <c r="D9" t="s">
        <v>33</v>
      </c>
    </row>
    <row r="10" spans="1:4" x14ac:dyDescent="0.3">
      <c r="A10" t="s">
        <v>11</v>
      </c>
      <c r="B10" t="s">
        <v>37</v>
      </c>
      <c r="C10" t="s">
        <v>38</v>
      </c>
      <c r="D10" t="s">
        <v>35</v>
      </c>
    </row>
    <row r="11" spans="1:4" x14ac:dyDescent="0.3">
      <c r="A11" t="s">
        <v>12</v>
      </c>
      <c r="B11" t="s">
        <v>39</v>
      </c>
      <c r="C11" t="s">
        <v>40</v>
      </c>
      <c r="D11" t="s">
        <v>34</v>
      </c>
    </row>
    <row r="12" spans="1:4" x14ac:dyDescent="0.3">
      <c r="A12" t="s">
        <v>13</v>
      </c>
      <c r="B12" t="s">
        <v>41</v>
      </c>
      <c r="C12" t="s">
        <v>42</v>
      </c>
      <c r="D12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3F0C-BF27-41B0-A313-C3C69348A8DD}">
  <dimension ref="A1:G11"/>
  <sheetViews>
    <sheetView workbookViewId="0">
      <selection activeCell="B18" sqref="B18"/>
    </sheetView>
  </sheetViews>
  <sheetFormatPr defaultRowHeight="14.4" x14ac:dyDescent="0.3"/>
  <cols>
    <col min="1" max="1" width="11.21875" customWidth="1"/>
    <col min="2" max="2" width="19.21875" customWidth="1"/>
    <col min="3" max="3" width="17.33203125" customWidth="1"/>
    <col min="4" max="5" width="16.44140625" customWidth="1"/>
    <col min="6" max="6" width="18" customWidth="1"/>
    <col min="7" max="7" width="23.44140625" customWidth="1"/>
  </cols>
  <sheetData>
    <row r="1" spans="1:7" x14ac:dyDescent="0.3">
      <c r="A1" t="s">
        <v>0</v>
      </c>
      <c r="B1" t="s">
        <v>1</v>
      </c>
      <c r="C1" t="s">
        <v>43</v>
      </c>
      <c r="D1" t="s">
        <v>44</v>
      </c>
      <c r="E1" t="s">
        <v>81</v>
      </c>
      <c r="F1" t="s">
        <v>45</v>
      </c>
      <c r="G1" t="s">
        <v>46</v>
      </c>
    </row>
    <row r="2" spans="1:7" x14ac:dyDescent="0.3">
      <c r="A2" t="s">
        <v>4</v>
      </c>
      <c r="B2" t="s">
        <v>14</v>
      </c>
      <c r="C2" t="s">
        <v>47</v>
      </c>
      <c r="D2" t="s">
        <v>82</v>
      </c>
      <c r="E2">
        <f>IF(D2="Implemented",1,IF(D2="In Progress",0.5,IF(D2="Planned",0.2,0)))</f>
        <v>1</v>
      </c>
      <c r="F2" s="1">
        <v>46063</v>
      </c>
      <c r="G2" t="s">
        <v>48</v>
      </c>
    </row>
    <row r="3" spans="1:7" x14ac:dyDescent="0.3">
      <c r="A3" t="s">
        <v>5</v>
      </c>
      <c r="B3" t="s">
        <v>17</v>
      </c>
      <c r="C3" t="s">
        <v>49</v>
      </c>
      <c r="D3" t="s">
        <v>82</v>
      </c>
      <c r="E3">
        <f t="shared" ref="E3:E11" si="0">IF(D3="Implemented",1,IF(D3="In Progress",0.5,IF(D3="Planned",0.2,0)))</f>
        <v>1</v>
      </c>
      <c r="F3" s="1">
        <v>46065</v>
      </c>
      <c r="G3" t="s">
        <v>50</v>
      </c>
    </row>
    <row r="4" spans="1:7" x14ac:dyDescent="0.3">
      <c r="A4" t="s">
        <v>6</v>
      </c>
      <c r="B4" t="s">
        <v>20</v>
      </c>
      <c r="C4" t="s">
        <v>47</v>
      </c>
      <c r="D4" t="s">
        <v>51</v>
      </c>
      <c r="E4">
        <f t="shared" si="0"/>
        <v>0.5</v>
      </c>
      <c r="F4" s="1">
        <v>46068</v>
      </c>
      <c r="G4" t="s">
        <v>52</v>
      </c>
    </row>
    <row r="5" spans="1:7" x14ac:dyDescent="0.3">
      <c r="A5" t="s">
        <v>7</v>
      </c>
      <c r="B5" t="s">
        <v>22</v>
      </c>
      <c r="C5" t="s">
        <v>49</v>
      </c>
      <c r="D5" t="s">
        <v>82</v>
      </c>
      <c r="E5">
        <f t="shared" si="0"/>
        <v>1</v>
      </c>
      <c r="F5" s="1">
        <v>46061</v>
      </c>
      <c r="G5" t="s">
        <v>58</v>
      </c>
    </row>
    <row r="6" spans="1:7" x14ac:dyDescent="0.3">
      <c r="A6" t="s">
        <v>8</v>
      </c>
      <c r="B6" t="s">
        <v>25</v>
      </c>
      <c r="C6" t="s">
        <v>54</v>
      </c>
      <c r="D6" t="s">
        <v>82</v>
      </c>
      <c r="E6">
        <f t="shared" si="0"/>
        <v>1</v>
      </c>
      <c r="F6" s="1">
        <v>46058</v>
      </c>
      <c r="G6" t="s">
        <v>59</v>
      </c>
    </row>
    <row r="7" spans="1:7" x14ac:dyDescent="0.3">
      <c r="A7" t="s">
        <v>9</v>
      </c>
      <c r="B7" t="s">
        <v>28</v>
      </c>
      <c r="C7" t="s">
        <v>55</v>
      </c>
      <c r="D7" t="s">
        <v>82</v>
      </c>
      <c r="E7">
        <f t="shared" si="0"/>
        <v>1</v>
      </c>
      <c r="F7" s="1">
        <v>46054</v>
      </c>
      <c r="G7" t="s">
        <v>60</v>
      </c>
    </row>
    <row r="8" spans="1:7" x14ac:dyDescent="0.3">
      <c r="A8" t="s">
        <v>10</v>
      </c>
      <c r="B8" t="s">
        <v>31</v>
      </c>
      <c r="C8" t="s">
        <v>49</v>
      </c>
      <c r="D8" t="s">
        <v>51</v>
      </c>
      <c r="E8">
        <f t="shared" si="0"/>
        <v>0.5</v>
      </c>
      <c r="F8" s="1">
        <v>46071</v>
      </c>
      <c r="G8" t="s">
        <v>61</v>
      </c>
    </row>
    <row r="9" spans="1:7" x14ac:dyDescent="0.3">
      <c r="A9" t="s">
        <v>11</v>
      </c>
      <c r="B9" t="s">
        <v>37</v>
      </c>
      <c r="C9" t="s">
        <v>47</v>
      </c>
      <c r="D9" t="s">
        <v>82</v>
      </c>
      <c r="E9">
        <f t="shared" si="0"/>
        <v>1</v>
      </c>
      <c r="F9" s="1">
        <v>46073</v>
      </c>
      <c r="G9" t="s">
        <v>62</v>
      </c>
    </row>
    <row r="10" spans="1:7" x14ac:dyDescent="0.3">
      <c r="A10" t="s">
        <v>12</v>
      </c>
      <c r="B10" t="s">
        <v>39</v>
      </c>
      <c r="C10" t="s">
        <v>56</v>
      </c>
      <c r="D10" t="s">
        <v>57</v>
      </c>
      <c r="E10">
        <f t="shared" si="0"/>
        <v>0.2</v>
      </c>
      <c r="F10" s="1">
        <v>46075</v>
      </c>
      <c r="G10" t="s">
        <v>63</v>
      </c>
    </row>
    <row r="11" spans="1:7" x14ac:dyDescent="0.3">
      <c r="A11" t="s">
        <v>13</v>
      </c>
      <c r="B11" t="s">
        <v>53</v>
      </c>
      <c r="C11" t="s">
        <v>49</v>
      </c>
      <c r="D11" t="s">
        <v>82</v>
      </c>
      <c r="E11">
        <f t="shared" si="0"/>
        <v>1</v>
      </c>
      <c r="F11" s="1">
        <v>46078</v>
      </c>
      <c r="G11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2D52-0A7C-46D2-9AEC-C475A18FA149}">
  <dimension ref="A1:E7"/>
  <sheetViews>
    <sheetView workbookViewId="0">
      <selection activeCell="D20" sqref="D20"/>
    </sheetView>
  </sheetViews>
  <sheetFormatPr defaultRowHeight="14.4" x14ac:dyDescent="0.3"/>
  <cols>
    <col min="1" max="2" width="10.109375" customWidth="1"/>
    <col min="3" max="3" width="15.6640625" customWidth="1"/>
    <col min="4" max="4" width="30.109375" customWidth="1"/>
    <col min="5" max="5" width="12.5546875" customWidth="1"/>
  </cols>
  <sheetData>
    <row r="1" spans="1:5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 x14ac:dyDescent="0.3">
      <c r="A2" t="s">
        <v>65</v>
      </c>
      <c r="B2" t="s">
        <v>0</v>
      </c>
      <c r="C2" t="s">
        <v>66</v>
      </c>
      <c r="D2" t="s">
        <v>3</v>
      </c>
      <c r="E2" t="s">
        <v>44</v>
      </c>
    </row>
    <row r="3" spans="1:5" x14ac:dyDescent="0.3">
      <c r="A3" t="s">
        <v>67</v>
      </c>
      <c r="B3" t="s">
        <v>6</v>
      </c>
      <c r="C3" t="s">
        <v>72</v>
      </c>
      <c r="D3" t="s">
        <v>75</v>
      </c>
      <c r="E3" t="s">
        <v>80</v>
      </c>
    </row>
    <row r="4" spans="1:5" x14ac:dyDescent="0.3">
      <c r="A4" t="s">
        <v>68</v>
      </c>
      <c r="B4" t="s">
        <v>7</v>
      </c>
      <c r="C4" t="s">
        <v>73</v>
      </c>
      <c r="D4" t="s">
        <v>76</v>
      </c>
      <c r="E4" t="s">
        <v>80</v>
      </c>
    </row>
    <row r="5" spans="1:5" x14ac:dyDescent="0.3">
      <c r="A5" t="s">
        <v>69</v>
      </c>
      <c r="B5" t="s">
        <v>11</v>
      </c>
      <c r="C5" t="s">
        <v>73</v>
      </c>
      <c r="D5" t="s">
        <v>77</v>
      </c>
      <c r="E5" t="s">
        <v>51</v>
      </c>
    </row>
    <row r="6" spans="1:5" x14ac:dyDescent="0.3">
      <c r="A6" t="s">
        <v>70</v>
      </c>
      <c r="B6" t="s">
        <v>10</v>
      </c>
      <c r="C6" t="s">
        <v>72</v>
      </c>
      <c r="D6" t="s">
        <v>78</v>
      </c>
      <c r="E6" t="s">
        <v>80</v>
      </c>
    </row>
    <row r="7" spans="1:5" x14ac:dyDescent="0.3">
      <c r="A7" t="s">
        <v>71</v>
      </c>
      <c r="B7" t="s">
        <v>12</v>
      </c>
      <c r="C7" t="s">
        <v>74</v>
      </c>
      <c r="D7" t="s">
        <v>79</v>
      </c>
      <c r="E7" t="s">
        <v>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6D04-6718-42F3-AE85-934DF44B691D}">
  <dimension ref="A1:L32"/>
  <sheetViews>
    <sheetView topLeftCell="A6" zoomScale="66" workbookViewId="0">
      <selection activeCell="G33" sqref="G33"/>
    </sheetView>
  </sheetViews>
  <sheetFormatPr defaultRowHeight="14.4" x14ac:dyDescent="0.3"/>
  <cols>
    <col min="1" max="1" width="16.21875" customWidth="1"/>
    <col min="2" max="2" width="16.5546875" customWidth="1"/>
    <col min="11" max="11" width="10.88671875" customWidth="1"/>
  </cols>
  <sheetData>
    <row r="1" spans="1:12" ht="23.4" x14ac:dyDescent="0.45">
      <c r="A1" s="2" t="s">
        <v>88</v>
      </c>
      <c r="B1" s="3"/>
      <c r="C1" s="3"/>
      <c r="D1" s="3"/>
      <c r="E1" s="3"/>
    </row>
    <row r="3" spans="1:12" x14ac:dyDescent="0.3">
      <c r="A3" t="s">
        <v>90</v>
      </c>
      <c r="B3" t="s">
        <v>91</v>
      </c>
      <c r="K3" t="s">
        <v>84</v>
      </c>
      <c r="L3" t="s">
        <v>83</v>
      </c>
    </row>
    <row r="4" spans="1:12" x14ac:dyDescent="0.3">
      <c r="A4" t="s">
        <v>82</v>
      </c>
      <c r="B4">
        <f>COUNTIF('Compliance_Tracker'!D:D,"Implemented")</f>
        <v>7</v>
      </c>
      <c r="K4" t="s">
        <v>73</v>
      </c>
      <c r="L4">
        <f>COUNTIF('Risk_Issue'!C:C,"High")</f>
        <v>2</v>
      </c>
    </row>
    <row r="5" spans="1:12" x14ac:dyDescent="0.3">
      <c r="A5" t="s">
        <v>51</v>
      </c>
      <c r="B5">
        <f>COUNTIF('Compliance_Tracker'!D:D,"In Progress")</f>
        <v>2</v>
      </c>
      <c r="K5" t="s">
        <v>72</v>
      </c>
      <c r="L5">
        <f>COUNTIF('Risk_Issue'!C:C,"Medium")</f>
        <v>2</v>
      </c>
    </row>
    <row r="6" spans="1:12" x14ac:dyDescent="0.3">
      <c r="A6" t="s">
        <v>57</v>
      </c>
      <c r="B6">
        <f>COUNTIF('Compliance_Tracker'!D:D,"Planned")</f>
        <v>1</v>
      </c>
      <c r="K6" t="s">
        <v>74</v>
      </c>
      <c r="L6">
        <f>COUNTIF('Risk_Issue'!C:C,"Low")</f>
        <v>1</v>
      </c>
    </row>
    <row r="29" spans="1:2" x14ac:dyDescent="0.3">
      <c r="A29" t="s">
        <v>85</v>
      </c>
      <c r="B29" t="s">
        <v>89</v>
      </c>
    </row>
    <row r="30" spans="1:2" x14ac:dyDescent="0.3">
      <c r="A30" t="s">
        <v>86</v>
      </c>
      <c r="B30">
        <f>COUNTA('Compliance_Tracker'!A:A)-1</f>
        <v>10</v>
      </c>
    </row>
    <row r="31" spans="1:2" x14ac:dyDescent="0.3">
      <c r="A31" t="s">
        <v>82</v>
      </c>
      <c r="B31">
        <f>COUNTIF('Compliance_Tracker'!D:D,"Implemented")</f>
        <v>7</v>
      </c>
    </row>
    <row r="32" spans="1:2" x14ac:dyDescent="0.3">
      <c r="A32" t="s">
        <v>87</v>
      </c>
      <c r="B32">
        <f>7/10%</f>
        <v>70</v>
      </c>
    </row>
  </sheetData>
  <mergeCells count="1">
    <mergeCell ref="A1:E1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Control_List</vt:lpstr>
      <vt:lpstr>Compliance_Tracker</vt:lpstr>
      <vt:lpstr>Risk_Issue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ritesh</dc:creator>
  <cp:lastModifiedBy>ritesh ritesh</cp:lastModifiedBy>
  <dcterms:created xsi:type="dcterms:W3CDTF">2026-03-16T10:55:09Z</dcterms:created>
  <dcterms:modified xsi:type="dcterms:W3CDTF">2026-03-17T10:45:16Z</dcterms:modified>
</cp:coreProperties>
</file>